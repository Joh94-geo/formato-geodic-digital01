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29CBD1-CE40-4157-BC5D-432BD6073D67}" xr6:coauthVersionLast="47" xr6:coauthVersionMax="47" xr10:uidLastSave="{00000000-0000-0000-0000-000000000000}"/>
  <bookViews>
    <workbookView xWindow="-108" yWindow="-108" windowWidth="23256" windowHeight="12456" xr2:uid="{D3A403BD-89E2-4BB8-9724-69E653E11E3E}"/>
  </bookViews>
  <sheets>
    <sheet name="Hoja de vida" sheetId="1" r:id="rId1"/>
  </sheets>
  <externalReferences>
    <externalReference r:id="rId2"/>
  </externalReferences>
  <definedNames>
    <definedName name="_xlnm.Print_Area" localSheetId="0">'Hoja de vida'!$B$3:$J$53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D4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<sst xmlns="http://schemas.openxmlformats.org/spreadsheetml/2006/main" count="115" uniqueCount="97">
  <si>
    <t>SISTEMA DE GESTIÓN INTEGRAL</t>
  </si>
  <si>
    <t xml:space="preserve">HOJA DE VIDA PERFORACIÓN DE MICROPILOTES O INYECCIONES DE CONSOLIDACIÓN </t>
  </si>
  <si>
    <t>NOMBRE DE LA OBRA :</t>
  </si>
  <si>
    <t>3500- GRUPO COLVIVA - TORRE RIO</t>
  </si>
  <si>
    <t xml:space="preserve">TALADRO/OPERADOR: </t>
  </si>
  <si>
    <t>FURUKAWA</t>
  </si>
  <si>
    <t>OTONIEL MUÑOZ</t>
  </si>
  <si>
    <t>BOMBA INY./OPERADOR:</t>
  </si>
  <si>
    <t xml:space="preserve">PUMPAC #2  |  DIEGO GERMAN </t>
  </si>
  <si>
    <t>GRAFICA LONGITUD vs. TIEMPO DE EJECUCIÓN</t>
  </si>
  <si>
    <t xml:space="preserve">FORMATO FÍSICO DE CAMPO </t>
  </si>
  <si>
    <t>NOMENCLATURA:</t>
  </si>
  <si>
    <t>PLATAFORMA (  )</t>
  </si>
  <si>
    <t>ELEMENTO</t>
  </si>
  <si>
    <t>FECHA DE EJECUCIÓN:</t>
  </si>
  <si>
    <t>Imagen</t>
  </si>
  <si>
    <t>ZONA:</t>
  </si>
  <si>
    <t xml:space="preserve"> NIVEL </t>
  </si>
  <si>
    <t>LONGITUD PERFORACIÓN (m):</t>
  </si>
  <si>
    <t>REFUERZO:</t>
  </si>
  <si>
    <t>Ø perf.  (mm)</t>
  </si>
  <si>
    <t>INCLINACIÓN:</t>
  </si>
  <si>
    <t>0°</t>
  </si>
  <si>
    <t>INYECCIÓN TEORICA(Sacos):</t>
  </si>
  <si>
    <t>4,44 Sacos</t>
  </si>
  <si>
    <t>INYECCIÓN REAL(Sacos):</t>
  </si>
  <si>
    <t>PRESION DE INYECCIÓN TEORICA(psi):</t>
  </si>
  <si>
    <t>PRESION DE INYECCIÓN REAL (psi):</t>
  </si>
  <si>
    <t>BARRIDO (sacos):</t>
  </si>
  <si>
    <r>
      <rPr>
        <sz val="16"/>
        <color theme="1"/>
        <rFont val="Aptos Narrow"/>
        <family val="2"/>
      </rPr>
      <t>□</t>
    </r>
    <r>
      <rPr>
        <sz val="14"/>
        <color theme="1"/>
        <rFont val="Aptos Narrow"/>
        <family val="2"/>
      </rPr>
      <t xml:space="preserve">   </t>
    </r>
    <r>
      <rPr>
        <sz val="12"/>
        <color theme="1"/>
        <rFont val="Aptos Narrow"/>
        <family val="2"/>
      </rPr>
      <t xml:space="preserve"> POLIMERO</t>
    </r>
  </si>
  <si>
    <t>□    SACOS USO GENERAL</t>
  </si>
  <si>
    <t>REQUINTE (sacos:)</t>
  </si>
  <si>
    <t>Sacos</t>
  </si>
  <si>
    <t xml:space="preserve">1: Material blando, 2: Material medio, 3: Material duro </t>
  </si>
  <si>
    <t>PROFUNDIDAD (m)</t>
  </si>
  <si>
    <t>DESCRIPCION DEL MATERIAL PERFORADO</t>
  </si>
  <si>
    <t>PRESIÓN PERCUSIÓN (BAR)</t>
  </si>
  <si>
    <t>PRESIÓN BARRIDO (BAR)</t>
  </si>
  <si>
    <t>HORA INICIO/FIN DE BARRA</t>
  </si>
  <si>
    <t xml:space="preserve">TIEMPO DE PERFORACIÓN (hr) </t>
  </si>
  <si>
    <t>OBSERVACIONES NOTAS Y BOCETOS</t>
  </si>
  <si>
    <t>0 a 1</t>
  </si>
  <si>
    <t>Hi:</t>
  </si>
  <si>
    <t>1 a 2</t>
  </si>
  <si>
    <t>Hf:</t>
  </si>
  <si>
    <t>2 a 3</t>
  </si>
  <si>
    <t>3 a 4</t>
  </si>
  <si>
    <t>4 a 5</t>
  </si>
  <si>
    <t>5 a 6</t>
  </si>
  <si>
    <t>6 a 7</t>
  </si>
  <si>
    <t>7 a 8</t>
  </si>
  <si>
    <t>8 a 9</t>
  </si>
  <si>
    <t>9 a 10</t>
  </si>
  <si>
    <t>10 a 11</t>
  </si>
  <si>
    <t>11 a 12</t>
  </si>
  <si>
    <t>12 a 13</t>
  </si>
  <si>
    <t>UBICACIÓN DEL ELEMENTO</t>
  </si>
  <si>
    <t xml:space="preserve">13 a 14 </t>
  </si>
  <si>
    <t>14 a 15</t>
  </si>
  <si>
    <t>15 a 16</t>
  </si>
  <si>
    <t>16 a 17</t>
  </si>
  <si>
    <t>17 a 18</t>
  </si>
  <si>
    <t>18 a 19</t>
  </si>
  <si>
    <t xml:space="preserve">19 a 20 </t>
  </si>
  <si>
    <t>20 a 21</t>
  </si>
  <si>
    <t>21 a 22</t>
  </si>
  <si>
    <t>22 a 23</t>
  </si>
  <si>
    <r>
      <t>BARRAS *</t>
    </r>
    <r>
      <rPr>
        <b/>
        <sz val="14"/>
        <rFont val="Arial"/>
        <family val="2"/>
      </rPr>
      <t>3</t>
    </r>
    <r>
      <rPr>
        <b/>
        <sz val="10"/>
        <rFont val="Arial"/>
        <family val="2"/>
      </rPr>
      <t xml:space="preserve"> MT</t>
    </r>
  </si>
  <si>
    <t>23 a 24</t>
  </si>
  <si>
    <r>
      <t>BARRAS *</t>
    </r>
    <r>
      <rPr>
        <b/>
        <sz val="14"/>
        <rFont val="Arial"/>
        <family val="2"/>
      </rPr>
      <t>2</t>
    </r>
    <r>
      <rPr>
        <b/>
        <sz val="10"/>
        <rFont val="Arial"/>
        <family val="2"/>
      </rPr>
      <t xml:space="preserve"> MT</t>
    </r>
  </si>
  <si>
    <t>24 a 25</t>
  </si>
  <si>
    <r>
      <t>BARRAS *</t>
    </r>
    <r>
      <rPr>
        <b/>
        <sz val="14"/>
        <rFont val="Arial"/>
        <family val="2"/>
      </rPr>
      <t>1</t>
    </r>
    <r>
      <rPr>
        <b/>
        <sz val="10"/>
        <rFont val="Arial"/>
        <family val="2"/>
      </rPr>
      <t xml:space="preserve"> MT</t>
    </r>
  </si>
  <si>
    <t>25 a 26</t>
  </si>
  <si>
    <t>ACOPLES</t>
  </si>
  <si>
    <t>26 a 27</t>
  </si>
  <si>
    <t>BROCAS</t>
  </si>
  <si>
    <t>27 a 28</t>
  </si>
  <si>
    <t>TIEMPO TOTAL PERFORACIÓN:</t>
  </si>
  <si>
    <t>28 a 29</t>
  </si>
  <si>
    <t>29 a 30</t>
  </si>
  <si>
    <t>Aditivo ( Eucon MR 4000) R: 0,3% Peso cemento</t>
  </si>
  <si>
    <t>127,5 gr/saco</t>
  </si>
  <si>
    <t>gr</t>
  </si>
  <si>
    <t>Hora inicio inyección:</t>
  </si>
  <si>
    <t>Hora fin inyección:</t>
  </si>
  <si>
    <t>Tiempo de inyección (min):</t>
  </si>
  <si>
    <t>RELACIÓN AGUA/CEMENTO A/C</t>
  </si>
  <si>
    <r>
      <rPr>
        <b/>
        <sz val="10"/>
        <rFont val="Arial"/>
        <family val="2"/>
      </rPr>
      <t xml:space="preserve">AGUA: </t>
    </r>
    <r>
      <rPr>
        <sz val="10"/>
        <rFont val="Arial"/>
        <family val="2"/>
      </rPr>
      <t xml:space="preserve">  
    17,85     L/saco</t>
    </r>
  </si>
  <si>
    <t>RESISTENCIA (Mpa)</t>
  </si>
  <si>
    <t>28Mpa</t>
  </si>
  <si>
    <r>
      <rPr>
        <b/>
        <sz val="10"/>
        <rFont val="Arial"/>
        <family val="2"/>
      </rPr>
      <t>CEMENTO</t>
    </r>
    <r>
      <rPr>
        <sz val="10"/>
        <rFont val="Arial"/>
        <family val="2"/>
      </rPr>
      <t>: 
42,5 Kg/saco</t>
    </r>
  </si>
  <si>
    <t>ING. RESIDENTE DE OBRA GEODIC</t>
  </si>
  <si>
    <t>ING. RESIDENTE COLVIVA</t>
  </si>
  <si>
    <t>Nombre:   CRISTIAN LONDOÑO</t>
  </si>
  <si>
    <t xml:space="preserve">Nombre: </t>
  </si>
  <si>
    <r>
      <t>Firma:</t>
    </r>
    <r>
      <rPr>
        <u/>
        <sz val="10"/>
        <rFont val="Arial"/>
        <family val="2"/>
      </rPr>
      <t xml:space="preserve">                                                        </t>
    </r>
    <r>
      <rPr>
        <sz val="10"/>
        <rFont val="Arial"/>
        <family val="2"/>
      </rPr>
      <t>Foto formato físico</t>
    </r>
  </si>
  <si>
    <r>
      <t>Firma:</t>
    </r>
    <r>
      <rPr>
        <u/>
        <sz val="10"/>
        <rFont val="Arial"/>
        <family val="2"/>
      </rPr>
      <t xml:space="preserve">                                                                             </t>
    </r>
    <r>
      <rPr>
        <sz val="10"/>
        <rFont val="Arial"/>
        <family val="2"/>
      </rPr>
      <t xml:space="preserve">   Foto formato físico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</si>
</sst>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0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8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ptos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2"/>
      <color theme="1"/>
      <name val="Aptos Narrow"/>
      <family val="2"/>
    </font>
    <font>
      <sz val="6"/>
      <color theme="1"/>
      <name val="Aptos Narrow"/>
      <family val="2"/>
    </font>
    <font>
      <b/>
      <sz val="8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5" fillId="4" borderId="1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6" fillId="7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20" fontId="6" fillId="8" borderId="8" xfId="0" applyNumberFormat="1" applyFont="1" applyFill="1" applyBorder="1" applyAlignment="1">
      <alignment horizontal="left" vertical="center" wrapText="1"/>
    </xf>
    <xf numFmtId="164" fontId="6" fillId="8" borderId="27" xfId="0" applyNumberFormat="1" applyFont="1" applyFill="1" applyBorder="1" applyAlignment="1">
      <alignment horizontal="left" vertical="center" wrapText="1"/>
    </xf>
    <xf numFmtId="0" fontId="6" fillId="8" borderId="14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164" fontId="6" fillId="8" borderId="20" xfId="0" applyNumberFormat="1" applyFont="1" applyFill="1" applyBorder="1" applyAlignment="1">
      <alignment horizontal="left" vertical="center" wrapText="1"/>
    </xf>
    <xf numFmtId="0" fontId="5" fillId="8" borderId="16" xfId="0" applyFont="1" applyFill="1" applyBorder="1" applyAlignment="1">
      <alignment horizontal="center" vertical="top" wrapText="1"/>
    </xf>
    <xf numFmtId="0" fontId="6" fillId="8" borderId="32" xfId="0" applyFont="1" applyFill="1" applyBorder="1" applyAlignment="1">
      <alignment horizontal="right" vertical="top" wrapText="1"/>
    </xf>
    <xf numFmtId="0" fontId="6" fillId="8" borderId="33" xfId="0" applyFont="1" applyFill="1" applyBorder="1" applyAlignment="1">
      <alignment horizontal="right" vertical="top" wrapText="1"/>
    </xf>
    <xf numFmtId="0" fontId="6" fillId="8" borderId="34" xfId="0" applyFont="1" applyFill="1" applyBorder="1" applyAlignment="1">
      <alignment horizontal="right" vertical="top" wrapText="1"/>
    </xf>
    <xf numFmtId="0" fontId="5" fillId="8" borderId="20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 wrapText="1"/>
    </xf>
    <xf numFmtId="0" fontId="5" fillId="8" borderId="30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20" fontId="5" fillId="0" borderId="44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2" xfId="0" applyFont="1" applyBorder="1" applyAlignment="1">
      <alignment horizontal="left" vertical="center"/>
    </xf>
    <xf numFmtId="0" fontId="5" fillId="0" borderId="53" xfId="0" applyFont="1" applyBorder="1" applyAlignment="1">
      <alignment horizontal="left" vertical="center"/>
    </xf>
    <xf numFmtId="0" fontId="5" fillId="0" borderId="5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9" borderId="48" xfId="0" applyFont="1" applyFill="1" applyBorder="1" applyAlignment="1">
      <alignment horizontal="center" vertical="center"/>
    </xf>
    <xf numFmtId="0" fontId="6" fillId="9" borderId="49" xfId="0" applyFont="1" applyFill="1" applyBorder="1" applyAlignment="1">
      <alignment horizontal="center" vertical="center"/>
    </xf>
    <xf numFmtId="0" fontId="6" fillId="9" borderId="50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20" fontId="6" fillId="0" borderId="46" xfId="0" applyNumberFormat="1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20" fontId="5" fillId="8" borderId="29" xfId="0" applyNumberFormat="1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left" vertical="center" wrapText="1"/>
    </xf>
    <xf numFmtId="0" fontId="6" fillId="8" borderId="18" xfId="0" applyFont="1" applyFill="1" applyBorder="1" applyAlignment="1">
      <alignment horizontal="left" vertical="center" wrapText="1"/>
    </xf>
    <xf numFmtId="164" fontId="6" fillId="8" borderId="16" xfId="0" applyNumberFormat="1" applyFont="1" applyFill="1" applyBorder="1" applyAlignment="1">
      <alignment horizontal="left" vertical="center" wrapText="1"/>
    </xf>
    <xf numFmtId="164" fontId="6" fillId="8" borderId="20" xfId="0" applyNumberFormat="1" applyFont="1" applyFill="1" applyBorder="1" applyAlignment="1">
      <alignment horizontal="left" vertical="center" wrapText="1"/>
    </xf>
    <xf numFmtId="20" fontId="5" fillId="8" borderId="41" xfId="0" applyNumberFormat="1" applyFont="1" applyFill="1" applyBorder="1" applyAlignment="1">
      <alignment horizontal="center" vertical="center" wrapText="1"/>
    </xf>
    <xf numFmtId="0" fontId="6" fillId="8" borderId="35" xfId="0" applyFont="1" applyFill="1" applyBorder="1" applyAlignment="1">
      <alignment horizontal="center" vertical="center" wrapText="1"/>
    </xf>
    <xf numFmtId="0" fontId="6" fillId="8" borderId="37" xfId="0" applyFont="1" applyFill="1" applyBorder="1" applyAlignment="1">
      <alignment horizontal="center" vertical="center" wrapText="1"/>
    </xf>
    <xf numFmtId="0" fontId="6" fillId="8" borderId="42" xfId="0" applyFont="1" applyFill="1" applyBorder="1" applyAlignment="1">
      <alignment horizontal="center" vertical="center" wrapText="1"/>
    </xf>
    <xf numFmtId="20" fontId="5" fillId="8" borderId="36" xfId="0" applyNumberFormat="1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8" borderId="31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left" vertical="center" wrapText="1"/>
    </xf>
    <xf numFmtId="20" fontId="5" fillId="8" borderId="28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6" fillId="8" borderId="30" xfId="0" applyNumberFormat="1" applyFont="1" applyFill="1" applyBorder="1" applyAlignment="1">
      <alignment horizontal="left" vertical="center" wrapText="1"/>
    </xf>
    <xf numFmtId="164" fontId="6" fillId="8" borderId="31" xfId="0" applyNumberFormat="1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 vertical="center" wrapText="1"/>
    </xf>
    <xf numFmtId="14" fontId="11" fillId="0" borderId="16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5" fillId="8" borderId="17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TIEMPO vs. LONGITUD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2733422074366081"/>
          <c:y val="5.3011472004546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4410648103519355"/>
          <c:y val="0.21546509814725207"/>
          <c:w val="0.75520523920855642"/>
          <c:h val="0.6705815205692972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'[1]HV I19-02'!$AE$8:$AE$14</c:f>
              <c:strCache>
                <c:ptCount val="7"/>
                <c:pt idx="0">
                  <c:v>2mn</c:v>
                </c:pt>
                <c:pt idx="1">
                  <c:v>5mn</c:v>
                </c:pt>
                <c:pt idx="2">
                  <c:v>7mn</c:v>
                </c:pt>
                <c:pt idx="3">
                  <c:v>7mn</c:v>
                </c:pt>
                <c:pt idx="5">
                  <c:v>7mn</c:v>
                </c:pt>
                <c:pt idx="6">
                  <c:v>13mn</c:v>
                </c:pt>
              </c:strCache>
            </c:strRef>
          </c:xVal>
          <c:yVal>
            <c:numRef>
              <c:f>'[1]HV I19-02'!$AD$8:$AD$14</c:f>
              <c:numCache>
                <c:formatCode>General</c:formatCode>
                <c:ptCount val="7"/>
                <c:pt idx="0">
                  <c:v>-3</c:v>
                </c:pt>
                <c:pt idx="1">
                  <c:v>-9</c:v>
                </c:pt>
                <c:pt idx="2">
                  <c:v>-12</c:v>
                </c:pt>
                <c:pt idx="3">
                  <c:v>-15</c:v>
                </c:pt>
                <c:pt idx="5">
                  <c:v>-18</c:v>
                </c:pt>
                <c:pt idx="6">
                  <c:v>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7-4C19-95DA-6286CFC9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823696"/>
        <c:axId val="1890826096"/>
      </c:scatterChart>
      <c:valAx>
        <c:axId val="1890823696"/>
        <c:scaling>
          <c:orientation val="minMax"/>
          <c:max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</a:t>
                </a:r>
                <a:r>
                  <a:rPr lang="es-CO" baseline="0"/>
                  <a:t> (hr)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43313870748740341"/>
              <c:y val="0.919451948590798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h:mm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0826096"/>
        <c:crosses val="autoZero"/>
        <c:crossBetween val="midCat"/>
      </c:valAx>
      <c:valAx>
        <c:axId val="18908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LONGITUD (m)</a:t>
                </a:r>
              </a:p>
            </c:rich>
          </c:tx>
          <c:layout>
            <c:manualLayout>
              <c:xMode val="edge"/>
              <c:yMode val="edge"/>
              <c:x val="2.0926757073252089E-2"/>
              <c:y val="0.372683918862366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0823696"/>
        <c:crosses val="autoZero"/>
        <c:crossBetween val="midCat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t" anchorCtr="0"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15</xdr:col>
      <xdr:colOff>475400</xdr:colOff>
      <xdr:row>20</xdr:row>
      <xdr:rowOff>122773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5C9048AE-F870-4EA2-B20E-A3EC4BD25D4C}"/>
            </a:ext>
            <a:ext uri="{147F2762-F138-4A5C-976F-8EAC2B608ADB}">
              <a16:predDERef xmlns:a16="http://schemas.microsoft.com/office/drawing/2014/main" pred="{67780D4E-820F-41F0-8267-A3B8E876C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dicsas.sharepoint.com/sites/GEODIC/PROYECTOS/EN%20EJECUCION/3500%20-%20GRUPO%20COLVIVA%20-%20MICROPILOTES%20TORRE%20RIO/TRAZABILIDAD/4.%20HOJAS%20DE%20VIDA/HV%20INY.%20CONSOLIDACI&#211;N/Hoja%20vida%20elementos%20.xlsx" TargetMode="External"/><Relationship Id="rId1" Type="http://schemas.openxmlformats.org/officeDocument/2006/relationships/externalLinkPath" Target="https://godicsas.sharepoint.com/sites/GEODIC/PROYECTOS/EN%20EJECUCION/3500%20-%20GRUPO%20COLVIVA%20-%20MICROPILOTES%20TORRE%20RIO/TRAZABILIDAD/4.%20HOJAS%20DE%20VIDA/HV%20INY.%20CONSOLIDACI&#211;N/Hoja%20vida%20elemento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V I19-02"/>
      <sheetName val="HV I19-01"/>
      <sheetName val="HV I19-03"/>
      <sheetName val="HV I19-04"/>
      <sheetName val="HV I19-05"/>
      <sheetName val="HV I18-09"/>
      <sheetName val="HV I18-08"/>
      <sheetName val="HV I18-07"/>
      <sheetName val="HV I18-06"/>
      <sheetName val="HV I17-06"/>
      <sheetName val="HV I18- 05"/>
      <sheetName val="HV I17-08"/>
      <sheetName val="HV I17-07"/>
      <sheetName val="HV I13-02"/>
      <sheetName val="HV I13-01"/>
      <sheetName val="HV I13 1&quot;"/>
      <sheetName val="HV I14-02"/>
      <sheetName val="HV I13 03"/>
      <sheetName val="HV I14-01"/>
      <sheetName val="HV I15-01"/>
      <sheetName val="HV I16-03"/>
      <sheetName val="HV I16-02"/>
      <sheetName val="HV I17-02"/>
      <sheetName val="HV I14-03"/>
      <sheetName val="HV I12-05"/>
      <sheetName val="HV I12-04"/>
      <sheetName val="HV I12-03"/>
      <sheetName val="HV I12-01"/>
      <sheetName val="HV I12-02"/>
      <sheetName val="HV I13-07"/>
      <sheetName val="HV I13-06"/>
      <sheetName val="HV I13-05"/>
      <sheetName val="HV I12-06"/>
      <sheetName val="HV I12-07"/>
      <sheetName val="HV I12-08"/>
      <sheetName val="HV I17-03"/>
      <sheetName val="HV I18-02"/>
      <sheetName val="HV I18-01"/>
      <sheetName val="HV 16-01"/>
      <sheetName val="HV I17-01"/>
    </sheetNames>
    <sheetDataSet>
      <sheetData sheetId="0">
        <row r="8">
          <cell r="AD8">
            <v>-3</v>
          </cell>
          <cell r="AE8" t="str">
            <v>2mn</v>
          </cell>
        </row>
        <row r="9">
          <cell r="AD9">
            <v>-9</v>
          </cell>
          <cell r="AE9" t="str">
            <v>5mn</v>
          </cell>
        </row>
        <row r="10">
          <cell r="AD10">
            <v>-12</v>
          </cell>
          <cell r="AE10" t="str">
            <v>7mn</v>
          </cell>
        </row>
        <row r="11">
          <cell r="AD11">
            <v>-15</v>
          </cell>
          <cell r="AE11" t="str">
            <v>7mn</v>
          </cell>
        </row>
        <row r="12">
          <cell r="AD12"/>
          <cell r="AE12"/>
        </row>
        <row r="13">
          <cell r="AD13">
            <v>-18</v>
          </cell>
          <cell r="AE13" t="str">
            <v>7mn</v>
          </cell>
        </row>
        <row r="14">
          <cell r="AD14">
            <v>-21</v>
          </cell>
          <cell r="AE14" t="str">
            <v>13mn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6CFC-95F2-4CF3-84D8-8BC6CB845B26}">
  <dimension ref="B2:AC55"/>
  <sheetViews>
    <sheetView tabSelected="1" view="pageBreakPreview" topLeftCell="A18" zoomScale="60" zoomScaleNormal="55" workbookViewId="0">
      <selection activeCell="AC11" sqref="AC11"/>
    </sheetView>
  </sheetViews>
  <sheetFormatPr baseColWidth="10" defaultColWidth="8.88671875" defaultRowHeight="14.4" x14ac:dyDescent="0.3"/>
  <cols>
    <col min="2" max="2" width="25" customWidth="1"/>
    <col min="3" max="3" width="18.109375" customWidth="1"/>
    <col min="4" max="4" width="11.44140625" customWidth="1"/>
    <col min="5" max="5" width="12.6640625" customWidth="1"/>
    <col min="6" max="6" width="3.44140625" customWidth="1"/>
    <col min="7" max="7" width="12.44140625" customWidth="1"/>
    <col min="8" max="8" width="23.6640625" customWidth="1"/>
    <col min="9" max="9" width="16.6640625" customWidth="1"/>
    <col min="10" max="10" width="21.88671875" customWidth="1"/>
  </cols>
  <sheetData>
    <row r="2" spans="2:29" ht="15" thickBot="1" x14ac:dyDescent="0.35"/>
    <row r="3" spans="2:29" ht="22.8" x14ac:dyDescent="0.3">
      <c r="B3" s="148" t="e" vm="1">
        <v>#VALUE!</v>
      </c>
      <c r="C3" s="150" t="s">
        <v>0</v>
      </c>
      <c r="D3" s="151"/>
      <c r="E3" s="151"/>
      <c r="F3" s="151"/>
      <c r="G3" s="151"/>
      <c r="H3" s="151"/>
      <c r="I3" s="151"/>
      <c r="J3" s="15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3"/>
      <c r="AC3" s="4"/>
    </row>
    <row r="4" spans="2:29" ht="23.4" thickBot="1" x14ac:dyDescent="0.35">
      <c r="B4" s="149"/>
      <c r="C4" s="153"/>
      <c r="D4" s="154"/>
      <c r="E4" s="154"/>
      <c r="F4" s="154"/>
      <c r="G4" s="154"/>
      <c r="H4" s="154"/>
      <c r="I4" s="154"/>
      <c r="J4" s="15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  <c r="AB4" s="3"/>
      <c r="AC4" s="4"/>
    </row>
    <row r="5" spans="2:29" ht="22.8" x14ac:dyDescent="0.3">
      <c r="B5" s="149"/>
      <c r="C5" s="156" t="s">
        <v>1</v>
      </c>
      <c r="D5" s="157"/>
      <c r="E5" s="157"/>
      <c r="F5" s="157"/>
      <c r="G5" s="157"/>
      <c r="H5" s="157"/>
      <c r="I5" s="157"/>
      <c r="J5" s="158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  <c r="AB5" s="3"/>
      <c r="AC5" s="4"/>
    </row>
    <row r="6" spans="2:29" ht="23.4" thickBot="1" x14ac:dyDescent="0.35">
      <c r="B6" s="149"/>
      <c r="C6" s="159"/>
      <c r="D6" s="160"/>
      <c r="E6" s="160"/>
      <c r="F6" s="160"/>
      <c r="G6" s="160"/>
      <c r="H6" s="160"/>
      <c r="I6" s="160"/>
      <c r="J6" s="161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  <c r="AB6" s="3"/>
      <c r="AC6" s="4"/>
    </row>
    <row r="7" spans="2:29" ht="15" thickBot="1" x14ac:dyDescent="0.35">
      <c r="B7" s="7" t="s">
        <v>2</v>
      </c>
      <c r="C7" s="162" t="s">
        <v>3</v>
      </c>
      <c r="D7" s="163"/>
      <c r="E7" s="163"/>
      <c r="F7" s="163"/>
      <c r="G7" s="163"/>
      <c r="H7" s="163"/>
      <c r="I7" s="163"/>
      <c r="J7" s="16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3"/>
      <c r="AC7" s="4"/>
    </row>
    <row r="8" spans="2:29" ht="15" thickBot="1" x14ac:dyDescent="0.35">
      <c r="B8" s="10" t="s">
        <v>4</v>
      </c>
      <c r="C8" s="11" t="s">
        <v>5</v>
      </c>
      <c r="D8" s="84" t="s">
        <v>6</v>
      </c>
      <c r="E8" s="84"/>
      <c r="F8" s="12"/>
      <c r="G8" s="121" t="s">
        <v>7</v>
      </c>
      <c r="H8" s="121"/>
      <c r="I8" s="84" t="s">
        <v>8</v>
      </c>
      <c r="J8" s="122"/>
      <c r="K8" s="127" t="s">
        <v>9</v>
      </c>
      <c r="L8" s="127"/>
      <c r="M8" s="127"/>
      <c r="N8" s="127"/>
      <c r="O8" s="127"/>
      <c r="P8" s="128"/>
      <c r="Q8" s="129" t="s">
        <v>10</v>
      </c>
      <c r="R8" s="130"/>
      <c r="S8" s="130"/>
      <c r="T8" s="130"/>
      <c r="U8" s="130"/>
      <c r="V8" s="130"/>
      <c r="W8" s="130"/>
      <c r="X8" s="130"/>
      <c r="Y8" s="130"/>
      <c r="Z8" s="130"/>
      <c r="AA8" s="131"/>
      <c r="AB8" s="3"/>
      <c r="AC8" s="4"/>
    </row>
    <row r="9" spans="2:29" ht="15" x14ac:dyDescent="0.3">
      <c r="B9" s="10" t="s">
        <v>11</v>
      </c>
      <c r="C9" s="13" t="s">
        <v>12</v>
      </c>
      <c r="D9" s="14" t="s">
        <v>13</v>
      </c>
      <c r="E9" s="15"/>
      <c r="F9" s="12"/>
      <c r="G9" s="121" t="s">
        <v>14</v>
      </c>
      <c r="H9" s="121"/>
      <c r="I9" s="132"/>
      <c r="J9" s="133"/>
      <c r="K9" s="134"/>
      <c r="L9" s="134"/>
      <c r="M9" s="134"/>
      <c r="N9" s="134"/>
      <c r="O9" s="134"/>
      <c r="P9" s="135"/>
      <c r="Q9" s="141" t="s">
        <v>15</v>
      </c>
      <c r="R9" s="109"/>
      <c r="S9" s="109"/>
      <c r="T9" s="109"/>
      <c r="U9" s="109"/>
      <c r="V9" s="109"/>
      <c r="W9" s="109"/>
      <c r="X9" s="109"/>
      <c r="Y9" s="109"/>
      <c r="Z9" s="109"/>
      <c r="AA9" s="110"/>
      <c r="AB9" s="3"/>
      <c r="AC9" s="4"/>
    </row>
    <row r="10" spans="2:29" x14ac:dyDescent="0.3">
      <c r="B10" s="10" t="s">
        <v>16</v>
      </c>
      <c r="C10" s="126" t="s">
        <v>17</v>
      </c>
      <c r="D10" s="126"/>
      <c r="E10" s="126"/>
      <c r="F10" s="16"/>
      <c r="G10" s="121" t="s">
        <v>18</v>
      </c>
      <c r="H10" s="121"/>
      <c r="I10" s="60"/>
      <c r="J10" s="61"/>
      <c r="K10" s="136"/>
      <c r="L10" s="136"/>
      <c r="M10" s="136"/>
      <c r="N10" s="136"/>
      <c r="O10" s="136"/>
      <c r="P10" s="137"/>
      <c r="Q10" s="113"/>
      <c r="R10" s="111"/>
      <c r="S10" s="111"/>
      <c r="T10" s="111"/>
      <c r="U10" s="111"/>
      <c r="V10" s="111"/>
      <c r="W10" s="111"/>
      <c r="X10" s="111"/>
      <c r="Y10" s="111"/>
      <c r="Z10" s="111"/>
      <c r="AA10" s="112"/>
      <c r="AB10" s="3"/>
      <c r="AC10" s="4"/>
    </row>
    <row r="11" spans="2:29" ht="24" customHeight="1" x14ac:dyDescent="0.3">
      <c r="B11" s="18" t="s">
        <v>19</v>
      </c>
      <c r="C11" s="19"/>
      <c r="D11" s="20" t="s">
        <v>20</v>
      </c>
      <c r="E11" s="19">
        <v>100</v>
      </c>
      <c r="F11" s="12"/>
      <c r="G11" s="121" t="s">
        <v>21</v>
      </c>
      <c r="H11" s="121"/>
      <c r="I11" s="84" t="s">
        <v>22</v>
      </c>
      <c r="J11" s="122"/>
      <c r="K11" s="136"/>
      <c r="L11" s="136"/>
      <c r="M11" s="136"/>
      <c r="N11" s="136"/>
      <c r="O11" s="136"/>
      <c r="P11" s="137"/>
      <c r="Q11" s="113"/>
      <c r="R11" s="111"/>
      <c r="S11" s="111"/>
      <c r="T11" s="111"/>
      <c r="U11" s="111"/>
      <c r="V11" s="111"/>
      <c r="W11" s="111"/>
      <c r="X11" s="111"/>
      <c r="Y11" s="111"/>
      <c r="Z11" s="111"/>
      <c r="AA11" s="112"/>
      <c r="AB11" s="3"/>
      <c r="AC11" s="4"/>
    </row>
    <row r="12" spans="2:29" x14ac:dyDescent="0.3">
      <c r="B12" s="119" t="s">
        <v>23</v>
      </c>
      <c r="C12" s="120"/>
      <c r="D12" s="60" t="s">
        <v>24</v>
      </c>
      <c r="E12" s="60"/>
      <c r="F12" s="12"/>
      <c r="G12" s="121" t="s">
        <v>25</v>
      </c>
      <c r="H12" s="121"/>
      <c r="I12" s="60"/>
      <c r="J12" s="61"/>
      <c r="K12" s="136"/>
      <c r="L12" s="136"/>
      <c r="M12" s="136"/>
      <c r="N12" s="136"/>
      <c r="O12" s="136"/>
      <c r="P12" s="137"/>
      <c r="Q12" s="113"/>
      <c r="R12" s="111"/>
      <c r="S12" s="111"/>
      <c r="T12" s="111"/>
      <c r="U12" s="111"/>
      <c r="V12" s="111"/>
      <c r="W12" s="111"/>
      <c r="X12" s="111"/>
      <c r="Y12" s="111"/>
      <c r="Z12" s="111"/>
      <c r="AA12" s="112"/>
      <c r="AB12" s="3"/>
      <c r="AC12" s="4"/>
    </row>
    <row r="13" spans="2:29" x14ac:dyDescent="0.3">
      <c r="B13" s="119" t="s">
        <v>26</v>
      </c>
      <c r="C13" s="120"/>
      <c r="D13" s="84">
        <v>50</v>
      </c>
      <c r="E13" s="84"/>
      <c r="F13" s="21"/>
      <c r="G13" s="121" t="s">
        <v>27</v>
      </c>
      <c r="H13" s="121"/>
      <c r="I13" s="84"/>
      <c r="J13" s="122"/>
      <c r="K13" s="136"/>
      <c r="L13" s="136"/>
      <c r="M13" s="136"/>
      <c r="N13" s="136"/>
      <c r="O13" s="136"/>
      <c r="P13" s="137"/>
      <c r="Q13" s="113"/>
      <c r="R13" s="111"/>
      <c r="S13" s="111"/>
      <c r="T13" s="111"/>
      <c r="U13" s="111"/>
      <c r="V13" s="111"/>
      <c r="W13" s="111"/>
      <c r="X13" s="111"/>
      <c r="Y13" s="111"/>
      <c r="Z13" s="111"/>
      <c r="AA13" s="112"/>
      <c r="AB13" s="3"/>
      <c r="AC13" s="4"/>
    </row>
    <row r="14" spans="2:29" ht="21.6" thickBot="1" x14ac:dyDescent="0.45">
      <c r="B14" s="22" t="s">
        <v>28</v>
      </c>
      <c r="C14" s="23" t="s">
        <v>29</v>
      </c>
      <c r="D14" s="24"/>
      <c r="E14" s="25" t="s">
        <v>30</v>
      </c>
      <c r="F14" s="26"/>
      <c r="G14" s="123" t="s">
        <v>31</v>
      </c>
      <c r="H14" s="123"/>
      <c r="I14" s="23"/>
      <c r="J14" s="27" t="s">
        <v>32</v>
      </c>
      <c r="K14" s="136"/>
      <c r="L14" s="136"/>
      <c r="M14" s="136"/>
      <c r="N14" s="136"/>
      <c r="O14" s="136"/>
      <c r="P14" s="137"/>
      <c r="Q14" s="113"/>
      <c r="R14" s="111"/>
      <c r="S14" s="111"/>
      <c r="T14" s="111"/>
      <c r="U14" s="111"/>
      <c r="V14" s="111"/>
      <c r="W14" s="111"/>
      <c r="X14" s="111"/>
      <c r="Y14" s="111"/>
      <c r="Z14" s="111"/>
      <c r="AA14" s="112"/>
      <c r="AB14" s="3"/>
      <c r="AC14" s="4"/>
    </row>
    <row r="15" spans="2:29" ht="15" thickBot="1" x14ac:dyDescent="0.35">
      <c r="B15" s="124" t="s">
        <v>33</v>
      </c>
      <c r="C15" s="125"/>
      <c r="D15" s="125"/>
      <c r="E15" s="125"/>
      <c r="F15" s="125"/>
      <c r="G15" s="125"/>
      <c r="H15" s="125"/>
      <c r="I15" s="125"/>
      <c r="J15" s="125"/>
      <c r="K15" s="138"/>
      <c r="L15" s="136"/>
      <c r="M15" s="136"/>
      <c r="N15" s="136"/>
      <c r="O15" s="136"/>
      <c r="P15" s="137"/>
      <c r="Q15" s="113"/>
      <c r="R15" s="111"/>
      <c r="S15" s="111"/>
      <c r="T15" s="111"/>
      <c r="U15" s="111"/>
      <c r="V15" s="111"/>
      <c r="W15" s="111"/>
      <c r="X15" s="111"/>
      <c r="Y15" s="111"/>
      <c r="Z15" s="111"/>
      <c r="AA15" s="112"/>
      <c r="AB15" s="3"/>
      <c r="AC15" s="4"/>
    </row>
    <row r="16" spans="2:29" ht="84" customHeight="1" thickBot="1" x14ac:dyDescent="0.35">
      <c r="B16" s="28" t="s">
        <v>34</v>
      </c>
      <c r="C16" s="29" t="s">
        <v>35</v>
      </c>
      <c r="D16" s="30" t="s">
        <v>36</v>
      </c>
      <c r="E16" s="30" t="s">
        <v>37</v>
      </c>
      <c r="F16" s="31"/>
      <c r="G16" s="31" t="s">
        <v>38</v>
      </c>
      <c r="H16" s="31" t="s">
        <v>39</v>
      </c>
      <c r="I16" s="142" t="s">
        <v>40</v>
      </c>
      <c r="J16" s="143"/>
      <c r="K16" s="138"/>
      <c r="L16" s="136"/>
      <c r="M16" s="136"/>
      <c r="N16" s="136"/>
      <c r="O16" s="136"/>
      <c r="P16" s="137"/>
      <c r="Q16" s="113"/>
      <c r="R16" s="111"/>
      <c r="S16" s="111"/>
      <c r="T16" s="111"/>
      <c r="U16" s="111"/>
      <c r="V16" s="111"/>
      <c r="W16" s="111"/>
      <c r="X16" s="111"/>
      <c r="Y16" s="111"/>
      <c r="Z16" s="111"/>
      <c r="AA16" s="112"/>
      <c r="AB16" s="3"/>
      <c r="AC16" s="4"/>
    </row>
    <row r="17" spans="2:29" ht="15" thickBot="1" x14ac:dyDescent="0.35">
      <c r="B17" s="32" t="s">
        <v>41</v>
      </c>
      <c r="C17" s="33"/>
      <c r="D17" s="33"/>
      <c r="E17" s="34"/>
      <c r="F17" s="35" t="s">
        <v>42</v>
      </c>
      <c r="G17" s="36"/>
      <c r="H17" s="104"/>
      <c r="I17" s="144"/>
      <c r="J17" s="145"/>
      <c r="K17" s="136"/>
      <c r="L17" s="136"/>
      <c r="M17" s="136"/>
      <c r="N17" s="136"/>
      <c r="O17" s="136"/>
      <c r="P17" s="137"/>
      <c r="Q17" s="113"/>
      <c r="R17" s="111"/>
      <c r="S17" s="111"/>
      <c r="T17" s="111"/>
      <c r="U17" s="111"/>
      <c r="V17" s="111"/>
      <c r="W17" s="111"/>
      <c r="X17" s="111"/>
      <c r="Y17" s="111"/>
      <c r="Z17" s="111"/>
      <c r="AA17" s="112"/>
      <c r="AB17" s="3"/>
      <c r="AC17" s="4"/>
    </row>
    <row r="18" spans="2:29" ht="15" thickBot="1" x14ac:dyDescent="0.35">
      <c r="B18" s="37" t="s">
        <v>43</v>
      </c>
      <c r="C18" s="33"/>
      <c r="D18" s="38"/>
      <c r="E18" s="39"/>
      <c r="F18" s="92" t="s">
        <v>44</v>
      </c>
      <c r="G18" s="94"/>
      <c r="H18" s="91"/>
      <c r="I18" s="146"/>
      <c r="J18" s="147"/>
      <c r="K18" s="136"/>
      <c r="L18" s="136"/>
      <c r="M18" s="136"/>
      <c r="N18" s="136"/>
      <c r="O18" s="136"/>
      <c r="P18" s="137"/>
      <c r="Q18" s="113"/>
      <c r="R18" s="111"/>
      <c r="S18" s="111"/>
      <c r="T18" s="111"/>
      <c r="U18" s="111"/>
      <c r="V18" s="111"/>
      <c r="W18" s="111"/>
      <c r="X18" s="111"/>
      <c r="Y18" s="111"/>
      <c r="Z18" s="111"/>
      <c r="AA18" s="112"/>
      <c r="AB18" s="3"/>
      <c r="AC18" s="4"/>
    </row>
    <row r="19" spans="2:29" ht="15" thickBot="1" x14ac:dyDescent="0.35">
      <c r="B19" s="37" t="s">
        <v>45</v>
      </c>
      <c r="C19" s="33"/>
      <c r="D19" s="38"/>
      <c r="E19" s="39"/>
      <c r="F19" s="93"/>
      <c r="G19" s="95"/>
      <c r="H19" s="91"/>
      <c r="I19" s="146"/>
      <c r="J19" s="147"/>
      <c r="K19" s="136"/>
      <c r="L19" s="136"/>
      <c r="M19" s="136"/>
      <c r="N19" s="136"/>
      <c r="O19" s="136"/>
      <c r="P19" s="137"/>
      <c r="Q19" s="113"/>
      <c r="R19" s="111"/>
      <c r="S19" s="111"/>
      <c r="T19" s="111"/>
      <c r="U19" s="111"/>
      <c r="V19" s="111"/>
      <c r="W19" s="111"/>
      <c r="X19" s="111"/>
      <c r="Y19" s="111"/>
      <c r="Z19" s="111"/>
      <c r="AA19" s="112"/>
      <c r="AC19" s="4"/>
    </row>
    <row r="20" spans="2:29" ht="15" thickBot="1" x14ac:dyDescent="0.35">
      <c r="B20" s="37" t="s">
        <v>46</v>
      </c>
      <c r="C20" s="33"/>
      <c r="D20" s="38"/>
      <c r="E20" s="39"/>
      <c r="F20" s="35" t="s">
        <v>42</v>
      </c>
      <c r="G20" s="36"/>
      <c r="H20" s="104"/>
      <c r="I20" s="146"/>
      <c r="J20" s="147"/>
      <c r="K20" s="136"/>
      <c r="L20" s="136"/>
      <c r="M20" s="136"/>
      <c r="N20" s="136"/>
      <c r="O20" s="136"/>
      <c r="P20" s="137"/>
      <c r="Q20" s="113"/>
      <c r="R20" s="111"/>
      <c r="S20" s="111"/>
      <c r="T20" s="111"/>
      <c r="U20" s="111"/>
      <c r="V20" s="111"/>
      <c r="W20" s="111"/>
      <c r="X20" s="111"/>
      <c r="Y20" s="111"/>
      <c r="Z20" s="111"/>
      <c r="AA20" s="112"/>
      <c r="AB20" s="3"/>
      <c r="AC20" s="4"/>
    </row>
    <row r="21" spans="2:29" ht="15" thickBot="1" x14ac:dyDescent="0.35">
      <c r="B21" s="37" t="s">
        <v>47</v>
      </c>
      <c r="C21" s="33"/>
      <c r="D21" s="38"/>
      <c r="E21" s="39"/>
      <c r="F21" s="92" t="s">
        <v>44</v>
      </c>
      <c r="G21" s="94"/>
      <c r="H21" s="91"/>
      <c r="I21" s="146"/>
      <c r="J21" s="147"/>
      <c r="K21" s="136"/>
      <c r="L21" s="136"/>
      <c r="M21" s="136"/>
      <c r="N21" s="136"/>
      <c r="O21" s="136"/>
      <c r="P21" s="137"/>
      <c r="Q21" s="113"/>
      <c r="R21" s="111"/>
      <c r="S21" s="111"/>
      <c r="T21" s="111"/>
      <c r="U21" s="111"/>
      <c r="V21" s="111"/>
      <c r="W21" s="111"/>
      <c r="X21" s="111"/>
      <c r="Y21" s="111"/>
      <c r="Z21" s="111"/>
      <c r="AA21" s="112"/>
      <c r="AB21" s="3"/>
      <c r="AC21" s="4"/>
    </row>
    <row r="22" spans="2:29" ht="15" thickBot="1" x14ac:dyDescent="0.35">
      <c r="B22" s="37" t="s">
        <v>48</v>
      </c>
      <c r="C22" s="33"/>
      <c r="D22" s="38"/>
      <c r="E22" s="39"/>
      <c r="F22" s="93"/>
      <c r="G22" s="95"/>
      <c r="H22" s="91"/>
      <c r="I22" s="146"/>
      <c r="J22" s="147"/>
      <c r="K22" s="136"/>
      <c r="L22" s="136"/>
      <c r="M22" s="136"/>
      <c r="N22" s="136"/>
      <c r="O22" s="136"/>
      <c r="P22" s="137"/>
      <c r="Q22" s="113"/>
      <c r="R22" s="111"/>
      <c r="S22" s="111"/>
      <c r="T22" s="111"/>
      <c r="U22" s="111"/>
      <c r="V22" s="111"/>
      <c r="W22" s="111"/>
      <c r="X22" s="111"/>
      <c r="Y22" s="111"/>
      <c r="Z22" s="111"/>
      <c r="AA22" s="112"/>
      <c r="AB22" s="3"/>
      <c r="AC22" s="4"/>
    </row>
    <row r="23" spans="2:29" ht="15" thickBot="1" x14ac:dyDescent="0.35">
      <c r="B23" s="37" t="s">
        <v>49</v>
      </c>
      <c r="C23" s="33"/>
      <c r="D23" s="38"/>
      <c r="E23" s="41"/>
      <c r="F23" s="35" t="s">
        <v>42</v>
      </c>
      <c r="G23" s="36"/>
      <c r="H23" s="104"/>
      <c r="I23" s="146"/>
      <c r="J23" s="147"/>
      <c r="K23" s="136"/>
      <c r="L23" s="136"/>
      <c r="M23" s="136"/>
      <c r="N23" s="136"/>
      <c r="O23" s="136"/>
      <c r="P23" s="137"/>
      <c r="Q23" s="113"/>
      <c r="R23" s="111"/>
      <c r="S23" s="111"/>
      <c r="T23" s="111"/>
      <c r="U23" s="111"/>
      <c r="V23" s="111"/>
      <c r="W23" s="111"/>
      <c r="X23" s="111"/>
      <c r="Y23" s="111"/>
      <c r="Z23" s="111"/>
      <c r="AA23" s="112"/>
      <c r="AB23" s="3"/>
      <c r="AC23" s="4"/>
    </row>
    <row r="24" spans="2:29" ht="15" thickBot="1" x14ac:dyDescent="0.35">
      <c r="B24" s="37" t="s">
        <v>50</v>
      </c>
      <c r="C24" s="33"/>
      <c r="D24" s="38"/>
      <c r="E24" s="39"/>
      <c r="F24" s="92" t="s">
        <v>44</v>
      </c>
      <c r="G24" s="117"/>
      <c r="H24" s="91"/>
      <c r="I24" s="146"/>
      <c r="J24" s="147"/>
      <c r="K24" s="136"/>
      <c r="L24" s="136"/>
      <c r="M24" s="136"/>
      <c r="N24" s="136"/>
      <c r="O24" s="136"/>
      <c r="P24" s="137"/>
      <c r="Q24" s="113"/>
      <c r="R24" s="111"/>
      <c r="S24" s="111"/>
      <c r="T24" s="111"/>
      <c r="U24" s="111"/>
      <c r="V24" s="111"/>
      <c r="W24" s="111"/>
      <c r="X24" s="111"/>
      <c r="Y24" s="111"/>
      <c r="Z24" s="111"/>
      <c r="AA24" s="112"/>
      <c r="AB24" s="3"/>
      <c r="AC24" s="4"/>
    </row>
    <row r="25" spans="2:29" ht="15" thickBot="1" x14ac:dyDescent="0.35">
      <c r="B25" s="37" t="s">
        <v>51</v>
      </c>
      <c r="C25" s="33"/>
      <c r="D25" s="38"/>
      <c r="E25" s="39"/>
      <c r="F25" s="93"/>
      <c r="G25" s="118"/>
      <c r="H25" s="91"/>
      <c r="I25" s="146"/>
      <c r="J25" s="147"/>
      <c r="K25" s="136"/>
      <c r="L25" s="136"/>
      <c r="M25" s="136"/>
      <c r="N25" s="136"/>
      <c r="O25" s="136"/>
      <c r="P25" s="137"/>
      <c r="Q25" s="113"/>
      <c r="R25" s="111"/>
      <c r="S25" s="111"/>
      <c r="T25" s="111"/>
      <c r="U25" s="111"/>
      <c r="V25" s="111"/>
      <c r="W25" s="111"/>
      <c r="X25" s="111"/>
      <c r="Y25" s="111"/>
      <c r="Z25" s="111"/>
      <c r="AA25" s="112"/>
      <c r="AB25" s="3"/>
      <c r="AC25" s="4"/>
    </row>
    <row r="26" spans="2:29" ht="15" thickBot="1" x14ac:dyDescent="0.35">
      <c r="B26" s="37" t="s">
        <v>52</v>
      </c>
      <c r="C26" s="33"/>
      <c r="D26" s="38"/>
      <c r="E26" s="39"/>
      <c r="F26" s="35" t="s">
        <v>42</v>
      </c>
      <c r="G26" s="36"/>
      <c r="H26" s="104"/>
      <c r="I26" s="146"/>
      <c r="J26" s="147"/>
      <c r="K26" s="136"/>
      <c r="L26" s="136"/>
      <c r="M26" s="136"/>
      <c r="N26" s="136"/>
      <c r="O26" s="136"/>
      <c r="P26" s="137"/>
      <c r="Q26" s="113"/>
      <c r="R26" s="111"/>
      <c r="S26" s="111"/>
      <c r="T26" s="111"/>
      <c r="U26" s="111"/>
      <c r="V26" s="111"/>
      <c r="W26" s="111"/>
      <c r="X26" s="111"/>
      <c r="Y26" s="111"/>
      <c r="Z26" s="111"/>
      <c r="AA26" s="112"/>
      <c r="AB26" s="3"/>
      <c r="AC26" s="4"/>
    </row>
    <row r="27" spans="2:29" ht="15" thickBot="1" x14ac:dyDescent="0.35">
      <c r="B27" s="37" t="s">
        <v>53</v>
      </c>
      <c r="C27" s="33"/>
      <c r="D27" s="38"/>
      <c r="E27" s="39"/>
      <c r="F27" s="92" t="s">
        <v>44</v>
      </c>
      <c r="G27" s="94"/>
      <c r="H27" s="91"/>
      <c r="I27" s="146"/>
      <c r="J27" s="147"/>
      <c r="K27" s="136"/>
      <c r="L27" s="136"/>
      <c r="M27" s="136"/>
      <c r="N27" s="136"/>
      <c r="O27" s="136"/>
      <c r="P27" s="137"/>
      <c r="Q27" s="113"/>
      <c r="R27" s="111"/>
      <c r="S27" s="111"/>
      <c r="T27" s="111"/>
      <c r="U27" s="111"/>
      <c r="V27" s="111"/>
      <c r="W27" s="111"/>
      <c r="X27" s="111"/>
      <c r="Y27" s="111"/>
      <c r="Z27" s="111"/>
      <c r="AA27" s="112"/>
      <c r="AB27" s="3"/>
      <c r="AC27" s="4"/>
    </row>
    <row r="28" spans="2:29" ht="15" thickBot="1" x14ac:dyDescent="0.35">
      <c r="B28" s="37" t="s">
        <v>54</v>
      </c>
      <c r="C28" s="33"/>
      <c r="D28" s="38"/>
      <c r="E28" s="39"/>
      <c r="F28" s="93"/>
      <c r="G28" s="95"/>
      <c r="H28" s="91"/>
      <c r="I28" s="146"/>
      <c r="J28" s="147"/>
      <c r="K28" s="139"/>
      <c r="L28" s="139"/>
      <c r="M28" s="139"/>
      <c r="N28" s="139"/>
      <c r="O28" s="139"/>
      <c r="P28" s="140"/>
      <c r="Q28" s="113"/>
      <c r="R28" s="111"/>
      <c r="S28" s="111"/>
      <c r="T28" s="111"/>
      <c r="U28" s="111"/>
      <c r="V28" s="111"/>
      <c r="W28" s="111"/>
      <c r="X28" s="111"/>
      <c r="Y28" s="111"/>
      <c r="Z28" s="111"/>
      <c r="AA28" s="112"/>
      <c r="AB28" s="3"/>
      <c r="AC28" s="4"/>
    </row>
    <row r="29" spans="2:29" ht="15" thickBot="1" x14ac:dyDescent="0.35">
      <c r="B29" s="37" t="s">
        <v>55</v>
      </c>
      <c r="C29" s="33"/>
      <c r="D29" s="38"/>
      <c r="E29" s="39"/>
      <c r="F29" s="35" t="s">
        <v>42</v>
      </c>
      <c r="G29" s="36"/>
      <c r="H29" s="104"/>
      <c r="I29" s="146"/>
      <c r="J29" s="147"/>
      <c r="K29" s="105" t="s">
        <v>56</v>
      </c>
      <c r="L29" s="105"/>
      <c r="M29" s="105"/>
      <c r="N29" s="105"/>
      <c r="O29" s="105"/>
      <c r="P29" s="106"/>
      <c r="Q29" s="113"/>
      <c r="R29" s="111"/>
      <c r="S29" s="111"/>
      <c r="T29" s="111"/>
      <c r="U29" s="111"/>
      <c r="V29" s="111"/>
      <c r="W29" s="111"/>
      <c r="X29" s="111"/>
      <c r="Y29" s="111"/>
      <c r="Z29" s="111"/>
      <c r="AA29" s="112"/>
      <c r="AB29" s="3"/>
      <c r="AC29" s="4"/>
    </row>
    <row r="30" spans="2:29" ht="15" thickBot="1" x14ac:dyDescent="0.35">
      <c r="B30" s="37" t="s">
        <v>57</v>
      </c>
      <c r="C30" s="33"/>
      <c r="D30" s="38"/>
      <c r="E30" s="39"/>
      <c r="F30" s="92" t="s">
        <v>44</v>
      </c>
      <c r="G30" s="94"/>
      <c r="H30" s="91"/>
      <c r="I30" s="146"/>
      <c r="J30" s="147"/>
      <c r="K30" s="107"/>
      <c r="L30" s="107"/>
      <c r="M30" s="107"/>
      <c r="N30" s="107"/>
      <c r="O30" s="107"/>
      <c r="P30" s="108"/>
      <c r="Q30" s="113"/>
      <c r="R30" s="111"/>
      <c r="S30" s="111"/>
      <c r="T30" s="111"/>
      <c r="U30" s="111"/>
      <c r="V30" s="111"/>
      <c r="W30" s="111"/>
      <c r="X30" s="111"/>
      <c r="Y30" s="111"/>
      <c r="Z30" s="111"/>
      <c r="AA30" s="112"/>
      <c r="AB30" s="3"/>
      <c r="AC30" s="4"/>
    </row>
    <row r="31" spans="2:29" ht="15" thickBot="1" x14ac:dyDescent="0.35">
      <c r="B31" s="37" t="s">
        <v>58</v>
      </c>
      <c r="C31" s="38"/>
      <c r="D31" s="38"/>
      <c r="E31" s="39"/>
      <c r="F31" s="93"/>
      <c r="G31" s="95"/>
      <c r="H31" s="91"/>
      <c r="I31" s="146"/>
      <c r="J31" s="147"/>
      <c r="K31" s="109"/>
      <c r="L31" s="109"/>
      <c r="M31" s="109"/>
      <c r="N31" s="109"/>
      <c r="O31" s="109"/>
      <c r="P31" s="110"/>
      <c r="Q31" s="113"/>
      <c r="R31" s="111"/>
      <c r="S31" s="111"/>
      <c r="T31" s="111"/>
      <c r="U31" s="111"/>
      <c r="V31" s="111"/>
      <c r="W31" s="111"/>
      <c r="X31" s="111"/>
      <c r="Y31" s="111"/>
      <c r="Z31" s="111"/>
      <c r="AA31" s="112"/>
      <c r="AB31" s="3"/>
      <c r="AC31" s="4"/>
    </row>
    <row r="32" spans="2:29" ht="15" thickBot="1" x14ac:dyDescent="0.35">
      <c r="B32" s="37" t="s">
        <v>59</v>
      </c>
      <c r="C32" s="38"/>
      <c r="D32" s="38"/>
      <c r="E32" s="39"/>
      <c r="F32" s="35" t="s">
        <v>42</v>
      </c>
      <c r="G32" s="40"/>
      <c r="H32" s="104"/>
      <c r="I32" s="146"/>
      <c r="J32" s="147"/>
      <c r="K32" s="111"/>
      <c r="L32" s="111"/>
      <c r="M32" s="111"/>
      <c r="N32" s="111"/>
      <c r="O32" s="111"/>
      <c r="P32" s="112"/>
      <c r="Q32" s="113"/>
      <c r="R32" s="111"/>
      <c r="S32" s="111"/>
      <c r="T32" s="111"/>
      <c r="U32" s="111"/>
      <c r="V32" s="111"/>
      <c r="W32" s="111"/>
      <c r="X32" s="111"/>
      <c r="Y32" s="111"/>
      <c r="Z32" s="111"/>
      <c r="AA32" s="112"/>
      <c r="AB32" s="3"/>
      <c r="AC32" s="4"/>
    </row>
    <row r="33" spans="2:29" x14ac:dyDescent="0.3">
      <c r="B33" s="37" t="s">
        <v>60</v>
      </c>
      <c r="C33" s="38"/>
      <c r="D33" s="38"/>
      <c r="E33" s="39"/>
      <c r="F33" s="92" t="s">
        <v>44</v>
      </c>
      <c r="G33" s="94"/>
      <c r="H33" s="91"/>
      <c r="I33" s="146"/>
      <c r="J33" s="147"/>
      <c r="K33" s="111"/>
      <c r="L33" s="111"/>
      <c r="M33" s="111"/>
      <c r="N33" s="111"/>
      <c r="O33" s="111"/>
      <c r="P33" s="112"/>
      <c r="Q33" s="113"/>
      <c r="R33" s="111"/>
      <c r="S33" s="111"/>
      <c r="T33" s="111"/>
      <c r="U33" s="111"/>
      <c r="V33" s="111"/>
      <c r="W33" s="111"/>
      <c r="X33" s="111"/>
      <c r="Y33" s="111"/>
      <c r="Z33" s="111"/>
      <c r="AA33" s="112"/>
      <c r="AB33" s="3"/>
      <c r="AC33" s="4"/>
    </row>
    <row r="34" spans="2:29" ht="15" thickBot="1" x14ac:dyDescent="0.35">
      <c r="B34" s="37" t="s">
        <v>61</v>
      </c>
      <c r="C34" s="38"/>
      <c r="D34" s="38"/>
      <c r="E34" s="39"/>
      <c r="F34" s="93"/>
      <c r="G34" s="95"/>
      <c r="H34" s="91"/>
      <c r="I34" s="146"/>
      <c r="J34" s="147"/>
      <c r="K34" s="111"/>
      <c r="L34" s="111"/>
      <c r="M34" s="111"/>
      <c r="N34" s="111"/>
      <c r="O34" s="111"/>
      <c r="P34" s="112"/>
      <c r="Q34" s="113"/>
      <c r="R34" s="111"/>
      <c r="S34" s="111"/>
      <c r="T34" s="111"/>
      <c r="U34" s="111"/>
      <c r="V34" s="111"/>
      <c r="W34" s="111"/>
      <c r="X34" s="111"/>
      <c r="Y34" s="111"/>
      <c r="Z34" s="111"/>
      <c r="AA34" s="112"/>
      <c r="AB34" s="3"/>
      <c r="AC34" s="4"/>
    </row>
    <row r="35" spans="2:29" x14ac:dyDescent="0.3">
      <c r="B35" s="37" t="s">
        <v>62</v>
      </c>
      <c r="C35" s="38"/>
      <c r="D35" s="38"/>
      <c r="E35" s="39"/>
      <c r="F35" s="35" t="s">
        <v>42</v>
      </c>
      <c r="G35" s="36"/>
      <c r="H35" s="104"/>
      <c r="I35" s="146"/>
      <c r="J35" s="147"/>
      <c r="K35" s="111"/>
      <c r="L35" s="111"/>
      <c r="M35" s="111"/>
      <c r="N35" s="111"/>
      <c r="O35" s="111"/>
      <c r="P35" s="112"/>
      <c r="Q35" s="113"/>
      <c r="R35" s="111"/>
      <c r="S35" s="111"/>
      <c r="T35" s="111"/>
      <c r="U35" s="111"/>
      <c r="V35" s="111"/>
      <c r="W35" s="111"/>
      <c r="X35" s="111"/>
      <c r="Y35" s="111"/>
      <c r="Z35" s="111"/>
      <c r="AA35" s="112"/>
      <c r="AB35" s="3"/>
      <c r="AC35" s="4"/>
    </row>
    <row r="36" spans="2:29" x14ac:dyDescent="0.3">
      <c r="B36" s="37" t="s">
        <v>63</v>
      </c>
      <c r="C36" s="38"/>
      <c r="D36" s="38"/>
      <c r="E36" s="39"/>
      <c r="F36" s="92" t="s">
        <v>44</v>
      </c>
      <c r="G36" s="94"/>
      <c r="H36" s="91"/>
      <c r="I36" s="146"/>
      <c r="J36" s="147"/>
      <c r="K36" s="111"/>
      <c r="L36" s="111"/>
      <c r="M36" s="111"/>
      <c r="N36" s="111"/>
      <c r="O36" s="111"/>
      <c r="P36" s="112"/>
      <c r="Q36" s="113"/>
      <c r="R36" s="111"/>
      <c r="S36" s="111"/>
      <c r="T36" s="111"/>
      <c r="U36" s="111"/>
      <c r="V36" s="111"/>
      <c r="W36" s="111"/>
      <c r="X36" s="111"/>
      <c r="Y36" s="111"/>
      <c r="Z36" s="111"/>
      <c r="AA36" s="112"/>
      <c r="AB36" s="3"/>
      <c r="AC36" s="4"/>
    </row>
    <row r="37" spans="2:29" ht="15" thickBot="1" x14ac:dyDescent="0.35">
      <c r="B37" s="37" t="s">
        <v>64</v>
      </c>
      <c r="C37" s="38"/>
      <c r="D37" s="38"/>
      <c r="E37" s="39"/>
      <c r="F37" s="93"/>
      <c r="G37" s="95"/>
      <c r="H37" s="91"/>
      <c r="I37" s="146"/>
      <c r="J37" s="147"/>
      <c r="K37" s="111"/>
      <c r="L37" s="111"/>
      <c r="M37" s="111"/>
      <c r="N37" s="111"/>
      <c r="O37" s="111"/>
      <c r="P37" s="112"/>
      <c r="Q37" s="113"/>
      <c r="R37" s="111"/>
      <c r="S37" s="111"/>
      <c r="T37" s="111"/>
      <c r="U37" s="111"/>
      <c r="V37" s="111"/>
      <c r="W37" s="111"/>
      <c r="X37" s="111"/>
      <c r="Y37" s="111"/>
      <c r="Z37" s="111"/>
      <c r="AA37" s="112"/>
      <c r="AB37" s="3"/>
      <c r="AC37" s="4"/>
    </row>
    <row r="38" spans="2:29" ht="15" thickBot="1" x14ac:dyDescent="0.35">
      <c r="B38" s="37" t="s">
        <v>65</v>
      </c>
      <c r="C38" s="38"/>
      <c r="D38" s="38"/>
      <c r="E38" s="39"/>
      <c r="F38" s="35" t="s">
        <v>42</v>
      </c>
      <c r="G38" s="36"/>
      <c r="H38" s="91"/>
      <c r="I38" s="146"/>
      <c r="J38" s="147"/>
      <c r="K38" s="111"/>
      <c r="L38" s="111"/>
      <c r="M38" s="111"/>
      <c r="N38" s="111"/>
      <c r="O38" s="111"/>
      <c r="P38" s="112"/>
      <c r="Q38" s="113"/>
      <c r="R38" s="111"/>
      <c r="S38" s="111"/>
      <c r="T38" s="111"/>
      <c r="U38" s="111"/>
      <c r="V38" s="111"/>
      <c r="W38" s="111"/>
      <c r="X38" s="111"/>
      <c r="Y38" s="111"/>
      <c r="Z38" s="111"/>
      <c r="AA38" s="112"/>
      <c r="AB38" s="3"/>
      <c r="AC38" s="4"/>
    </row>
    <row r="39" spans="2:29" ht="24" customHeight="1" x14ac:dyDescent="0.3">
      <c r="B39" s="37" t="s">
        <v>66</v>
      </c>
      <c r="C39" s="38"/>
      <c r="D39" s="38"/>
      <c r="E39" s="39"/>
      <c r="F39" s="92" t="s">
        <v>44</v>
      </c>
      <c r="G39" s="94"/>
      <c r="H39" s="91"/>
      <c r="I39" s="42" t="s">
        <v>67</v>
      </c>
      <c r="J39" s="34"/>
      <c r="K39" s="111"/>
      <c r="L39" s="111"/>
      <c r="M39" s="111"/>
      <c r="N39" s="111"/>
      <c r="O39" s="111"/>
      <c r="P39" s="112"/>
      <c r="Q39" s="113"/>
      <c r="R39" s="111"/>
      <c r="S39" s="111"/>
      <c r="T39" s="111"/>
      <c r="U39" s="111"/>
      <c r="V39" s="111"/>
      <c r="W39" s="111"/>
      <c r="X39" s="111"/>
      <c r="Y39" s="111"/>
      <c r="Z39" s="111"/>
      <c r="AA39" s="112"/>
      <c r="AB39" s="3"/>
      <c r="AC39" s="4"/>
    </row>
    <row r="40" spans="2:29" ht="24" customHeight="1" thickBot="1" x14ac:dyDescent="0.35">
      <c r="B40" s="37" t="s">
        <v>68</v>
      </c>
      <c r="C40" s="38"/>
      <c r="D40" s="38"/>
      <c r="E40" s="39"/>
      <c r="F40" s="93"/>
      <c r="G40" s="95"/>
      <c r="H40" s="91"/>
      <c r="I40" s="43" t="s">
        <v>69</v>
      </c>
      <c r="J40" s="39"/>
      <c r="K40" s="111"/>
      <c r="L40" s="111"/>
      <c r="M40" s="111"/>
      <c r="N40" s="111"/>
      <c r="O40" s="111"/>
      <c r="P40" s="112"/>
      <c r="Q40" s="113"/>
      <c r="R40" s="111"/>
      <c r="S40" s="111"/>
      <c r="T40" s="111"/>
      <c r="U40" s="111"/>
      <c r="V40" s="111"/>
      <c r="W40" s="111"/>
      <c r="X40" s="111"/>
      <c r="Y40" s="111"/>
      <c r="Z40" s="111"/>
      <c r="AA40" s="112"/>
      <c r="AB40" s="3"/>
      <c r="AC40" s="4"/>
    </row>
    <row r="41" spans="2:29" ht="24" customHeight="1" x14ac:dyDescent="0.3">
      <c r="B41" s="37" t="s">
        <v>70</v>
      </c>
      <c r="C41" s="38"/>
      <c r="D41" s="38"/>
      <c r="E41" s="39"/>
      <c r="F41" s="35" t="s">
        <v>42</v>
      </c>
      <c r="G41" s="36"/>
      <c r="H41" s="91"/>
      <c r="I41" s="43" t="s">
        <v>71</v>
      </c>
      <c r="J41" s="39"/>
      <c r="K41" s="111"/>
      <c r="L41" s="111"/>
      <c r="M41" s="111"/>
      <c r="N41" s="111"/>
      <c r="O41" s="111"/>
      <c r="P41" s="112"/>
      <c r="Q41" s="113"/>
      <c r="R41" s="111"/>
      <c r="S41" s="111"/>
      <c r="T41" s="111"/>
      <c r="U41" s="111"/>
      <c r="V41" s="111"/>
      <c r="W41" s="111"/>
      <c r="X41" s="111"/>
      <c r="Y41" s="111"/>
      <c r="Z41" s="111"/>
      <c r="AA41" s="112"/>
      <c r="AB41" s="3"/>
      <c r="AC41" s="4"/>
    </row>
    <row r="42" spans="2:29" ht="24" customHeight="1" x14ac:dyDescent="0.3">
      <c r="B42" s="37" t="s">
        <v>72</v>
      </c>
      <c r="C42" s="38"/>
      <c r="D42" s="38"/>
      <c r="E42" s="39"/>
      <c r="F42" s="92" t="s">
        <v>44</v>
      </c>
      <c r="G42" s="94"/>
      <c r="H42" s="91"/>
      <c r="I42" s="43" t="s">
        <v>73</v>
      </c>
      <c r="J42" s="39"/>
      <c r="K42" s="111"/>
      <c r="L42" s="111"/>
      <c r="M42" s="111"/>
      <c r="N42" s="111"/>
      <c r="O42" s="111"/>
      <c r="P42" s="112"/>
      <c r="Q42" s="113"/>
      <c r="R42" s="111"/>
      <c r="S42" s="111"/>
      <c r="T42" s="111"/>
      <c r="U42" s="111"/>
      <c r="V42" s="111"/>
      <c r="W42" s="111"/>
      <c r="X42" s="111"/>
      <c r="Y42" s="111"/>
      <c r="Z42" s="111"/>
      <c r="AA42" s="112"/>
      <c r="AB42" s="3"/>
      <c r="AC42" s="4"/>
    </row>
    <row r="43" spans="2:29" ht="15" thickBot="1" x14ac:dyDescent="0.35">
      <c r="B43" s="37" t="s">
        <v>74</v>
      </c>
      <c r="C43" s="38"/>
      <c r="D43" s="38"/>
      <c r="E43" s="39"/>
      <c r="F43" s="93"/>
      <c r="G43" s="95"/>
      <c r="H43" s="91"/>
      <c r="I43" s="44" t="s">
        <v>75</v>
      </c>
      <c r="J43" s="45"/>
      <c r="K43" s="111"/>
      <c r="L43" s="111"/>
      <c r="M43" s="111"/>
      <c r="N43" s="111"/>
      <c r="O43" s="111"/>
      <c r="P43" s="112"/>
      <c r="Q43" s="113"/>
      <c r="R43" s="111"/>
      <c r="S43" s="111"/>
      <c r="T43" s="111"/>
      <c r="U43" s="111"/>
      <c r="V43" s="111"/>
      <c r="W43" s="111"/>
      <c r="X43" s="111"/>
      <c r="Y43" s="111"/>
      <c r="Z43" s="111"/>
      <c r="AA43" s="112"/>
      <c r="AB43" s="3"/>
      <c r="AC43" s="4"/>
    </row>
    <row r="44" spans="2:29" x14ac:dyDescent="0.3">
      <c r="B44" s="37" t="s">
        <v>76</v>
      </c>
      <c r="C44" s="38"/>
      <c r="D44" s="38"/>
      <c r="E44" s="39"/>
      <c r="F44" s="35" t="s">
        <v>42</v>
      </c>
      <c r="G44" s="36"/>
      <c r="H44" s="91"/>
      <c r="I44" s="97" t="s">
        <v>77</v>
      </c>
      <c r="J44" s="100"/>
      <c r="K44" s="111"/>
      <c r="L44" s="111"/>
      <c r="M44" s="111"/>
      <c r="N44" s="111"/>
      <c r="O44" s="111"/>
      <c r="P44" s="112"/>
      <c r="Q44" s="113"/>
      <c r="R44" s="111"/>
      <c r="S44" s="111"/>
      <c r="T44" s="111"/>
      <c r="U44" s="111"/>
      <c r="V44" s="111"/>
      <c r="W44" s="111"/>
      <c r="X44" s="111"/>
      <c r="Y44" s="111"/>
      <c r="Z44" s="111"/>
      <c r="AA44" s="112"/>
      <c r="AB44" s="3"/>
      <c r="AC44" s="4"/>
    </row>
    <row r="45" spans="2:29" x14ac:dyDescent="0.3">
      <c r="B45" s="37" t="s">
        <v>78</v>
      </c>
      <c r="C45" s="38"/>
      <c r="D45" s="38"/>
      <c r="E45" s="39"/>
      <c r="F45" s="92" t="s">
        <v>44</v>
      </c>
      <c r="G45" s="94"/>
      <c r="H45" s="91"/>
      <c r="I45" s="98"/>
      <c r="J45" s="101"/>
      <c r="K45" s="111"/>
      <c r="L45" s="111"/>
      <c r="M45" s="111"/>
      <c r="N45" s="111"/>
      <c r="O45" s="111"/>
      <c r="P45" s="112"/>
      <c r="Q45" s="113"/>
      <c r="R45" s="111"/>
      <c r="S45" s="111"/>
      <c r="T45" s="111"/>
      <c r="U45" s="111"/>
      <c r="V45" s="111"/>
      <c r="W45" s="111"/>
      <c r="X45" s="111"/>
      <c r="Y45" s="111"/>
      <c r="Z45" s="111"/>
      <c r="AA45" s="112"/>
      <c r="AB45" s="3"/>
      <c r="AC45" s="4"/>
    </row>
    <row r="46" spans="2:29" ht="15" thickBot="1" x14ac:dyDescent="0.35">
      <c r="B46" s="46" t="s">
        <v>79</v>
      </c>
      <c r="C46" s="47"/>
      <c r="D46" s="47"/>
      <c r="E46" s="48"/>
      <c r="F46" s="103"/>
      <c r="G46" s="95"/>
      <c r="H46" s="96"/>
      <c r="I46" s="99"/>
      <c r="J46" s="102"/>
      <c r="K46" s="111"/>
      <c r="L46" s="111"/>
      <c r="M46" s="111"/>
      <c r="N46" s="111"/>
      <c r="O46" s="111"/>
      <c r="P46" s="112"/>
      <c r="Q46" s="113"/>
      <c r="R46" s="111"/>
      <c r="S46" s="111"/>
      <c r="T46" s="111"/>
      <c r="U46" s="111"/>
      <c r="V46" s="111"/>
      <c r="W46" s="111"/>
      <c r="X46" s="111"/>
      <c r="Y46" s="111"/>
      <c r="Z46" s="111"/>
      <c r="AA46" s="112"/>
      <c r="AB46" s="3"/>
      <c r="AC46" s="4"/>
    </row>
    <row r="47" spans="2:29" ht="26.4" x14ac:dyDescent="0.3">
      <c r="B47" s="79" t="s">
        <v>80</v>
      </c>
      <c r="C47" s="81" t="s">
        <v>81</v>
      </c>
      <c r="D47" s="83">
        <f>127.5*I12</f>
        <v>0</v>
      </c>
      <c r="E47" s="83"/>
      <c r="F47" s="85" t="s">
        <v>82</v>
      </c>
      <c r="G47" s="49" t="s">
        <v>83</v>
      </c>
      <c r="H47" s="50"/>
      <c r="I47" s="49" t="s">
        <v>84</v>
      </c>
      <c r="J47" s="50"/>
      <c r="K47" s="111"/>
      <c r="L47" s="111"/>
      <c r="M47" s="111"/>
      <c r="N47" s="111"/>
      <c r="O47" s="111"/>
      <c r="P47" s="112"/>
      <c r="Q47" s="113"/>
      <c r="R47" s="111"/>
      <c r="S47" s="111"/>
      <c r="T47" s="111"/>
      <c r="U47" s="111"/>
      <c r="V47" s="111"/>
      <c r="W47" s="111"/>
      <c r="X47" s="111"/>
      <c r="Y47" s="111"/>
      <c r="Z47" s="111"/>
      <c r="AA47" s="112"/>
      <c r="AB47" s="3"/>
      <c r="AC47" s="4"/>
    </row>
    <row r="48" spans="2:29" x14ac:dyDescent="0.3">
      <c r="B48" s="80"/>
      <c r="C48" s="82"/>
      <c r="D48" s="84"/>
      <c r="E48" s="84"/>
      <c r="F48" s="86"/>
      <c r="G48" s="87" t="s">
        <v>85</v>
      </c>
      <c r="H48" s="88"/>
      <c r="I48" s="89">
        <f>J47-H47</f>
        <v>0</v>
      </c>
      <c r="J48" s="90"/>
      <c r="K48" s="111"/>
      <c r="L48" s="111"/>
      <c r="M48" s="111"/>
      <c r="N48" s="111"/>
      <c r="O48" s="111"/>
      <c r="P48" s="112"/>
      <c r="Q48" s="113"/>
      <c r="R48" s="111"/>
      <c r="S48" s="111"/>
      <c r="T48" s="111"/>
      <c r="U48" s="111"/>
      <c r="V48" s="111"/>
      <c r="W48" s="111"/>
      <c r="X48" s="111"/>
      <c r="Y48" s="111"/>
      <c r="Z48" s="111"/>
      <c r="AA48" s="112"/>
      <c r="AB48" s="3"/>
      <c r="AC48" s="4"/>
    </row>
    <row r="49" spans="2:29" ht="34.5" customHeight="1" x14ac:dyDescent="0.3">
      <c r="B49" s="51" t="s">
        <v>86</v>
      </c>
      <c r="C49" s="17">
        <v>0.42</v>
      </c>
      <c r="D49" s="60" t="s">
        <v>87</v>
      </c>
      <c r="E49" s="60"/>
      <c r="F49" s="61"/>
      <c r="G49" s="62"/>
      <c r="H49" s="63"/>
      <c r="I49" s="63"/>
      <c r="J49" s="64"/>
      <c r="K49" s="111"/>
      <c r="L49" s="111"/>
      <c r="M49" s="111"/>
      <c r="N49" s="111"/>
      <c r="O49" s="111"/>
      <c r="P49" s="112"/>
      <c r="Q49" s="113"/>
      <c r="R49" s="111"/>
      <c r="S49" s="111"/>
      <c r="T49" s="111"/>
      <c r="U49" s="111"/>
      <c r="V49" s="111"/>
      <c r="W49" s="111"/>
      <c r="X49" s="111"/>
      <c r="Y49" s="111"/>
      <c r="Z49" s="111"/>
      <c r="AA49" s="112"/>
      <c r="AB49" s="3"/>
      <c r="AC49" s="4"/>
    </row>
    <row r="50" spans="2:29" ht="36" customHeight="1" thickBot="1" x14ac:dyDescent="0.35">
      <c r="B50" s="52" t="s">
        <v>88</v>
      </c>
      <c r="C50" s="53" t="s">
        <v>89</v>
      </c>
      <c r="D50" s="68" t="s">
        <v>90</v>
      </c>
      <c r="E50" s="68"/>
      <c r="F50" s="69"/>
      <c r="G50" s="65"/>
      <c r="H50" s="66"/>
      <c r="I50" s="66"/>
      <c r="J50" s="67"/>
      <c r="K50" s="111"/>
      <c r="L50" s="111"/>
      <c r="M50" s="111"/>
      <c r="N50" s="111"/>
      <c r="O50" s="111"/>
      <c r="P50" s="112"/>
      <c r="Q50" s="113"/>
      <c r="R50" s="111"/>
      <c r="S50" s="111"/>
      <c r="T50" s="111"/>
      <c r="U50" s="111"/>
      <c r="V50" s="111"/>
      <c r="W50" s="111"/>
      <c r="X50" s="111"/>
      <c r="Y50" s="111"/>
      <c r="Z50" s="111"/>
      <c r="AA50" s="112"/>
      <c r="AB50" s="3"/>
      <c r="AC50" s="4"/>
    </row>
    <row r="51" spans="2:29" x14ac:dyDescent="0.3">
      <c r="B51" s="70" t="s">
        <v>91</v>
      </c>
      <c r="C51" s="71"/>
      <c r="D51" s="71"/>
      <c r="E51" s="71"/>
      <c r="F51" s="72"/>
      <c r="G51" s="70" t="s">
        <v>92</v>
      </c>
      <c r="H51" s="71"/>
      <c r="I51" s="71"/>
      <c r="J51" s="72"/>
      <c r="K51" s="113"/>
      <c r="L51" s="111"/>
      <c r="M51" s="111"/>
      <c r="N51" s="111"/>
      <c r="O51" s="111"/>
      <c r="P51" s="112"/>
      <c r="Q51" s="113"/>
      <c r="R51" s="111"/>
      <c r="S51" s="111"/>
      <c r="T51" s="111"/>
      <c r="U51" s="111"/>
      <c r="V51" s="111"/>
      <c r="W51" s="111"/>
      <c r="X51" s="111"/>
      <c r="Y51" s="111"/>
      <c r="Z51" s="111"/>
      <c r="AA51" s="112"/>
      <c r="AB51" s="3"/>
      <c r="AC51" s="4"/>
    </row>
    <row r="52" spans="2:29" x14ac:dyDescent="0.3">
      <c r="B52" s="73" t="s">
        <v>93</v>
      </c>
      <c r="C52" s="74"/>
      <c r="D52" s="74"/>
      <c r="E52" s="74"/>
      <c r="F52" s="75"/>
      <c r="G52" s="76" t="s">
        <v>94</v>
      </c>
      <c r="H52" s="77"/>
      <c r="I52" s="77"/>
      <c r="J52" s="78"/>
      <c r="K52" s="113"/>
      <c r="L52" s="111"/>
      <c r="M52" s="111"/>
      <c r="N52" s="111"/>
      <c r="O52" s="111"/>
      <c r="P52" s="112"/>
      <c r="Q52" s="113"/>
      <c r="R52" s="111"/>
      <c r="S52" s="111"/>
      <c r="T52" s="111"/>
      <c r="U52" s="111"/>
      <c r="V52" s="111"/>
      <c r="W52" s="111"/>
      <c r="X52" s="111"/>
      <c r="Y52" s="111"/>
      <c r="Z52" s="111"/>
      <c r="AA52" s="112"/>
      <c r="AB52" s="3"/>
      <c r="AC52" s="4"/>
    </row>
    <row r="53" spans="2:29" ht="15" thickBot="1" x14ac:dyDescent="0.35">
      <c r="B53" s="54" t="s">
        <v>95</v>
      </c>
      <c r="C53" s="55"/>
      <c r="D53" s="55"/>
      <c r="E53" s="55"/>
      <c r="F53" s="56"/>
      <c r="G53" s="57" t="s">
        <v>96</v>
      </c>
      <c r="H53" s="58"/>
      <c r="I53" s="58"/>
      <c r="J53" s="59"/>
      <c r="K53" s="114"/>
      <c r="L53" s="115"/>
      <c r="M53" s="115"/>
      <c r="N53" s="115"/>
      <c r="O53" s="115"/>
      <c r="P53" s="116"/>
      <c r="Q53" s="114"/>
      <c r="R53" s="115"/>
      <c r="S53" s="115"/>
      <c r="T53" s="115"/>
      <c r="U53" s="115"/>
      <c r="V53" s="115"/>
      <c r="W53" s="115"/>
      <c r="X53" s="115"/>
      <c r="Y53" s="115"/>
      <c r="Z53" s="115"/>
      <c r="AA53" s="116"/>
      <c r="AB53" s="3"/>
      <c r="AC53" s="4"/>
    </row>
    <row r="54" spans="2:29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4"/>
    </row>
    <row r="55" spans="2:29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4"/>
    </row>
  </sheetData>
  <mergeCells count="79">
    <mergeCell ref="B3:B6"/>
    <mergeCell ref="C3:J4"/>
    <mergeCell ref="C5:J6"/>
    <mergeCell ref="C7:J7"/>
    <mergeCell ref="D8:E8"/>
    <mergeCell ref="G8:H8"/>
    <mergeCell ref="I8:J8"/>
    <mergeCell ref="K8:P8"/>
    <mergeCell ref="Q8:AA8"/>
    <mergeCell ref="G9:H9"/>
    <mergeCell ref="I9:J9"/>
    <mergeCell ref="K9:P28"/>
    <mergeCell ref="Q9:AA53"/>
    <mergeCell ref="I16:J16"/>
    <mergeCell ref="H17:H19"/>
    <mergeCell ref="I17:J38"/>
    <mergeCell ref="H26:H28"/>
    <mergeCell ref="I13:J13"/>
    <mergeCell ref="G14:H14"/>
    <mergeCell ref="B15:J15"/>
    <mergeCell ref="C10:E10"/>
    <mergeCell ref="G10:H10"/>
    <mergeCell ref="I10:J10"/>
    <mergeCell ref="G11:H11"/>
    <mergeCell ref="I11:J11"/>
    <mergeCell ref="B12:C12"/>
    <mergeCell ref="D12:E12"/>
    <mergeCell ref="G12:H12"/>
    <mergeCell ref="I12:J12"/>
    <mergeCell ref="H23:H25"/>
    <mergeCell ref="F24:F25"/>
    <mergeCell ref="G24:G25"/>
    <mergeCell ref="B13:C13"/>
    <mergeCell ref="D13:E13"/>
    <mergeCell ref="G13:H13"/>
    <mergeCell ref="F18:F19"/>
    <mergeCell ref="G18:G19"/>
    <mergeCell ref="H20:H22"/>
    <mergeCell ref="F21:F22"/>
    <mergeCell ref="G21:G22"/>
    <mergeCell ref="F27:F28"/>
    <mergeCell ref="G27:G28"/>
    <mergeCell ref="H29:H31"/>
    <mergeCell ref="K29:P30"/>
    <mergeCell ref="F30:F31"/>
    <mergeCell ref="G30:G31"/>
    <mergeCell ref="K31:P53"/>
    <mergeCell ref="H32:H34"/>
    <mergeCell ref="F33:F34"/>
    <mergeCell ref="G33:G34"/>
    <mergeCell ref="H35:H37"/>
    <mergeCell ref="F36:F37"/>
    <mergeCell ref="G36:G37"/>
    <mergeCell ref="H38:H40"/>
    <mergeCell ref="F39:F40"/>
    <mergeCell ref="G39:G40"/>
    <mergeCell ref="I48:J48"/>
    <mergeCell ref="H41:H43"/>
    <mergeCell ref="F42:F43"/>
    <mergeCell ref="G42:G43"/>
    <mergeCell ref="H44:H46"/>
    <mergeCell ref="I44:I46"/>
    <mergeCell ref="J44:J46"/>
    <mergeCell ref="F45:F46"/>
    <mergeCell ref="G45:G46"/>
    <mergeCell ref="B47:B48"/>
    <mergeCell ref="C47:C48"/>
    <mergeCell ref="D47:E48"/>
    <mergeCell ref="F47:F48"/>
    <mergeCell ref="G48:H48"/>
    <mergeCell ref="B53:F53"/>
    <mergeCell ref="G53:J53"/>
    <mergeCell ref="D49:F49"/>
    <mergeCell ref="G49:J50"/>
    <mergeCell ref="D50:F50"/>
    <mergeCell ref="B51:F51"/>
    <mergeCell ref="G51:J51"/>
    <mergeCell ref="B52:F52"/>
    <mergeCell ref="G52:J52"/>
  </mergeCells>
  <pageMargins left="0.7" right="0.7" top="0.75" bottom="0.75" header="0.3" footer="0.3"/>
  <pageSetup paperSize="9"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28501b5-4786-4c73-8578-5d7634200570"/>
    <lcf76f155ced4ddcb4097134ff3c332f xmlns="7ce6e4f4-1439-412a-89c9-c0ce09e5c4c3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6D7966C993AD4B9E28FB8019DBBA2B" ma:contentTypeVersion="20" ma:contentTypeDescription="Crear nuevo documento." ma:contentTypeScope="" ma:versionID="051441670b698818df022b999325a07b">
  <xsd:schema xmlns:xsd="http://www.w3.org/2001/XMLSchema" xmlns:xs="http://www.w3.org/2001/XMLSchema" xmlns:p="http://schemas.microsoft.com/office/2006/metadata/properties" xmlns:ns1="http://schemas.microsoft.com/sharepoint/v3" xmlns:ns2="e28501b5-4786-4c73-8578-5d7634200570" xmlns:ns3="7ce6e4f4-1439-412a-89c9-c0ce09e5c4c3" targetNamespace="http://schemas.microsoft.com/office/2006/metadata/properties" ma:root="true" ma:fieldsID="b55488fa98e8f78825ad03d038d249b7" ns1:_="" ns2:_="" ns3:_="">
    <xsd:import namespace="http://schemas.microsoft.com/sharepoint/v3"/>
    <xsd:import namespace="e28501b5-4786-4c73-8578-5d7634200570"/>
    <xsd:import namespace="7ce6e4f4-1439-412a-89c9-c0ce09e5c4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501b5-4786-4c73-8578-5d76342005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811de47-b739-4290-b3ae-d0a003d2b447}" ma:internalName="TaxCatchAll" ma:showField="CatchAllData" ma:web="e28501b5-4786-4c73-8578-5d76342005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6e4f4-1439-412a-89c9-c0ce09e5c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e518796-1c79-414b-a7b8-323ea3a83f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24F6C7-C1C6-4D02-A42B-24A93545E54B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sharepoint/v3"/>
    <ds:schemaRef ds:uri="http://purl.org/dc/terms/"/>
    <ds:schemaRef ds:uri="http://purl.org/dc/dcmitype/"/>
    <ds:schemaRef ds:uri="e28501b5-4786-4c73-8578-5d7634200570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ce6e4f4-1439-412a-89c9-c0ce09e5c4c3"/>
  </ds:schemaRefs>
</ds:datastoreItem>
</file>

<file path=customXml/itemProps2.xml><?xml version="1.0" encoding="utf-8"?>
<ds:datastoreItem xmlns:ds="http://schemas.openxmlformats.org/officeDocument/2006/customXml" ds:itemID="{641B1409-6EFC-4324-AF4A-327C07C259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128FE2-EFC7-45AE-9294-91EF502FEC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28501b5-4786-4c73-8578-5d7634200570"/>
    <ds:schemaRef ds:uri="7ce6e4f4-1439-412a-89c9-c0ce09e5c4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de vida</vt:lpstr>
      <vt:lpstr>'Hoja de vida'!Área_de_impresión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Alexander Marin Restrepo</dc:creator>
  <cp:lastModifiedBy>Johan Alexander Marin Restrepo</cp:lastModifiedBy>
  <dcterms:created xsi:type="dcterms:W3CDTF">2026-01-26T14:51:06Z</dcterms:created>
  <dcterms:modified xsi:type="dcterms:W3CDTF">2026-03-31T15:06:25Z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0x010100FD6D7966C993AD4B9E28FB8019DBBA2B</vt:lpwstr>
  </property>
</Properties>
</file>